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明细" sheetId="1" r:id="rId1"/>
    <sheet name="单据信息" sheetId="2" r:id="rId2"/>
  </sheets>
  <calcPr calcId="124519" fullCalcOnLoad="1"/>
</workbook>
</file>

<file path=xl/sharedStrings.xml><?xml version="1.0" encoding="utf-8"?>
<sst xmlns="http://schemas.openxmlformats.org/spreadsheetml/2006/main" count="28" uniqueCount="25">
  <si>
    <t>启明仪器有限公司 销售单</t>
  </si>
  <si>
    <t>计价</t>
  </si>
  <si>
    <t>序号</t>
  </si>
  <si>
    <t>品名</t>
  </si>
  <si>
    <t>数量</t>
  </si>
  <si>
    <t>单价（元）</t>
  </si>
  <si>
    <t>金额（元）</t>
  </si>
  <si>
    <t>白板（120×90）</t>
  </si>
  <si>
    <t>投影仪</t>
  </si>
  <si>
    <t>人体工学椅</t>
  </si>
  <si>
    <t>文件柜（四门）</t>
  </si>
  <si>
    <t/>
  </si>
  <si>
    <t>小计</t>
  </si>
  <si>
    <t>税额 13%</t>
  </si>
  <si>
    <t>合计</t>
  </si>
  <si>
    <t>合成数据</t>
  </si>
  <si>
    <t>项目</t>
  </si>
  <si>
    <t>内容</t>
  </si>
  <si>
    <t>单据编号</t>
  </si>
  <si>
    <t>No.32859627</t>
  </si>
  <si>
    <t>客户</t>
  </si>
  <si>
    <t>远帆物流有限公司</t>
  </si>
  <si>
    <t>日期</t>
  </si>
  <si>
    <t>2026年6月2日</t>
  </si>
  <si>
    <t>合计（元）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</si>
</sst>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C83C3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6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6.7109375" customWidth="1"/>
    <col min="2" max="2" width="22.7109375" customWidth="1"/>
    <col min="3" max="3" width="8.7109375" customWidth="1"/>
    <col min="4" max="4" width="12.7109375" customWidth="1"/>
    <col min="5" max="5" width="14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2" spans="1:5">
      <c r="C2" s="2" t="s">
        <v>1</v>
      </c>
      <c r="D2" s="2"/>
      <c r="E2" s="2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 t="s">
        <v>7</v>
      </c>
      <c r="C4" s="3">
        <v>6</v>
      </c>
      <c r="D4" s="4">
        <v>240</v>
      </c>
      <c r="E4" s="5">
        <f>C4*D4</f>
        <v>1440</v>
      </c>
    </row>
    <row r="5" spans="1:5">
      <c r="A5" s="3">
        <v>2</v>
      </c>
      <c r="B5" s="3" t="s">
        <v>8</v>
      </c>
      <c r="C5" s="3">
        <v>6</v>
      </c>
      <c r="D5" s="4">
        <v>3280</v>
      </c>
      <c r="E5" s="5">
        <f>C5*D5</f>
        <v>19680</v>
      </c>
    </row>
    <row r="6" spans="1:5">
      <c r="A6" s="3">
        <v>3</v>
      </c>
      <c r="B6" s="3" t="s">
        <v>9</v>
      </c>
      <c r="C6" s="3">
        <v>6</v>
      </c>
      <c r="D6" s="4">
        <v>890</v>
      </c>
      <c r="E6" s="5">
        <f>C6*D6</f>
        <v>5340</v>
      </c>
    </row>
    <row r="7" spans="1:5">
      <c r="A7" s="3">
        <v>4</v>
      </c>
      <c r="B7" s="3" t="s">
        <v>10</v>
      </c>
      <c r="C7" s="3">
        <v>3</v>
      </c>
      <c r="D7" s="4">
        <v>760</v>
      </c>
      <c r="E7" s="5">
        <f>C7*D7</f>
        <v>2280</v>
      </c>
    </row>
    <row r="8" spans="1:5">
      <c r="A8" s="3" t="s">
        <v>11</v>
      </c>
      <c r="B8" s="3" t="s">
        <v>12</v>
      </c>
      <c r="C8" s="3"/>
      <c r="D8" s="4"/>
      <c r="E8" s="5">
        <f>SUM(E4:E7)</f>
        <v>28740</v>
      </c>
    </row>
    <row r="9" spans="1:5">
      <c r="A9" s="3" t="s">
        <v>11</v>
      </c>
      <c r="B9" s="3" t="s">
        <v>13</v>
      </c>
      <c r="C9" s="3"/>
      <c r="D9" s="4"/>
      <c r="E9" s="5">
        <f>ROUND(E8*13/100,2)</f>
        <v>3736.2</v>
      </c>
    </row>
    <row r="10" spans="1:5">
      <c r="A10" s="3" t="s">
        <v>11</v>
      </c>
      <c r="B10" s="3" t="s">
        <v>14</v>
      </c>
      <c r="C10" s="3"/>
      <c r="D10" s="4"/>
      <c r="E10" s="5">
        <f>E8+E9</f>
        <v>32476.2</v>
      </c>
    </row>
    <row r="12" spans="1:5">
      <c r="A12" s="6" t="s">
        <v>15</v>
      </c>
    </row>
  </sheetData>
  <mergeCells count="2">
    <mergeCell ref="A1:E1"/>
    <mergeCell ref="C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2" t="s">
        <v>16</v>
      </c>
      <c r="B1" s="2" t="s">
        <v>17</v>
      </c>
    </row>
    <row r="2" spans="1:2">
      <c r="A2" s="3" t="s">
        <v>18</v>
      </c>
      <c r="B2" s="3" t="s">
        <v>19</v>
      </c>
    </row>
    <row r="3" spans="1:2">
      <c r="A3" s="3" t="s">
        <v>20</v>
      </c>
      <c r="B3" s="3" t="s">
        <v>21</v>
      </c>
    </row>
    <row r="4" spans="1:2">
      <c r="A4" s="3" t="s">
        <v>22</v>
      </c>
      <c r="B4" s="3" t="s">
        <v>23</v>
      </c>
    </row>
    <row r="5" spans="1:2">
      <c r="A5" s="3" t="s">
        <v>24</v>
      </c>
      <c r="B5" s="3">
        <f>'明细'!E10</f>
        <v>32476.2</v>
      </c>
    </row>
    <row r="7" spans="1:2">
      <c r="A7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明细</vt:lpstr>
      <vt:lpstr>单据信息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启明仪器有限公司 销售单</dc:title>
  <dc:creator>synthetic</dc:creator>
  <dc:description>合成数据</dc:description>
  <cp:lastModifiedBy>synthetic</cp:lastModifiedBy>
  <dcterms:created xsi:type="dcterms:W3CDTF">2026-10-01T09:00:00Z</dcterms:created>
  <dcterms:modified xsi:type="dcterms:W3CDTF">2026-10-01T09:00:00Z</dcterms:modified>
</cp:coreProperties>
</file>