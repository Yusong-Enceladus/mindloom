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主结果" sheetId="1" r:id="rId1"/>
    <sheet name="消融" sheetId="2" r:id="rId2"/>
    <sheet name="算力统计" sheetId="3" r:id="rId3"/>
  </sheets>
  <calcPr calcId="124519" fullCalcOnLoad="1"/>
</workbook>
</file>

<file path=xl/sharedStrings.xml><?xml version="1.0" encoding="utf-8"?>
<sst xmlns="http://schemas.openxmlformats.org/spreadsheetml/2006/main" count="33" uniqueCount="30">
  <si>
    <t>LongVid-QA 主结果（run37）</t>
  </si>
  <si>
    <t>准确率 (%)</t>
  </si>
  <si>
    <t>方法</t>
  </si>
  <si>
    <t>短视频</t>
  </si>
  <si>
    <t>长视频</t>
  </si>
  <si>
    <t>平均</t>
  </si>
  <si>
    <t>参数量(M)</t>
  </si>
  <si>
    <t>Baseline-TR</t>
  </si>
  <si>
    <t>LoomNet (run37)</t>
  </si>
  <si>
    <t>LoomNet w/o memory</t>
  </si>
  <si>
    <t>合成数据</t>
  </si>
  <si>
    <t>memory_slots</t>
  </si>
  <si>
    <t>准确率(%)</t>
  </si>
  <si>
    <t>显存(GB)</t>
  </si>
  <si>
    <t>相对 baseline</t>
  </si>
  <si>
    <t>GPU·时统计（预算 2,000）</t>
  </si>
  <si>
    <t>阶段</t>
  </si>
  <si>
    <t>实验</t>
  </si>
  <si>
    <t>卡数</t>
  </si>
  <si>
    <t>小时</t>
  </si>
  <si>
    <t>GPU·时</t>
  </si>
  <si>
    <t>调试</t>
  </si>
  <si>
    <t>run35 预实验</t>
  </si>
  <si>
    <t>run36 调参</t>
  </si>
  <si>
    <t>正式</t>
  </si>
  <si>
    <t>run37 主实验</t>
  </si>
  <si>
    <t>消融 32/64/128</t>
  </si>
  <si>
    <t>合计</t>
  </si>
  <si>
    <t/>
  </si>
  <si>
    <t>剩余预算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</si>
</sst>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83C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3" fillId="0" borderId="0" xfId="0" applyFon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2.7109375" customWidth="1"/>
    <col min="2" max="4" width="10.7109375" customWidth="1"/>
    <col min="5" max="5" width="12.7109375" customWidth="1"/>
  </cols>
  <sheetData>
    <row r="1" spans="1:5" ht="26" customHeight="1">
      <c r="A1" s="1" t="s">
        <v>0</v>
      </c>
      <c r="B1" s="1"/>
      <c r="C1" s="1"/>
      <c r="D1" s="1"/>
      <c r="E1" s="1"/>
    </row>
    <row r="2" spans="1:5">
      <c r="B2" s="2" t="s">
        <v>1</v>
      </c>
      <c r="C2" s="2"/>
      <c r="D2" s="2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 t="s">
        <v>7</v>
      </c>
      <c r="B4" s="4">
        <v>79.8</v>
      </c>
      <c r="C4" s="4">
        <v>70.8</v>
      </c>
      <c r="D4" s="4">
        <f>AVERAGE(B4:C4)</f>
        <v>75.3</v>
      </c>
      <c r="E4" s="3">
        <v>312</v>
      </c>
    </row>
    <row r="5" spans="1:5">
      <c r="A5" s="3" t="s">
        <v>8</v>
      </c>
      <c r="B5" s="4">
        <v>81.2</v>
      </c>
      <c r="C5" s="4">
        <v>72.59999999999999</v>
      </c>
      <c r="D5" s="4">
        <f>AVERAGE(B5:C5)</f>
        <v>76.9</v>
      </c>
      <c r="E5" s="3">
        <v>298</v>
      </c>
    </row>
    <row r="6" spans="1:5">
      <c r="A6" s="3" t="s">
        <v>9</v>
      </c>
      <c r="B6" s="4">
        <v>78.59999999999999</v>
      </c>
      <c r="C6" s="4">
        <v>69.59999999999999</v>
      </c>
      <c r="D6" s="4">
        <f>AVERAGE(B6:C6)</f>
        <v>74.1</v>
      </c>
      <c r="E6" s="3">
        <v>285</v>
      </c>
    </row>
    <row r="8" spans="1:5">
      <c r="A8" s="5" t="s">
        <v>10</v>
      </c>
    </row>
  </sheetData>
  <mergeCells count="2">
    <mergeCell ref="A1:E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4.7109375" customWidth="1"/>
    <col min="2" max="2" width="12.7109375" customWidth="1"/>
    <col min="3" max="3" width="10.7109375" customWidth="1"/>
    <col min="4" max="4" width="14.7109375" customWidth="1"/>
  </cols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s="3">
        <v>32</v>
      </c>
      <c r="B2" s="4">
        <v>75.90000000000001</v>
      </c>
      <c r="C2" s="3">
        <v>38</v>
      </c>
      <c r="D2" s="4">
        <f>B2-'主结果'!D4</f>
        <v>0.6</v>
      </c>
    </row>
    <row r="3" spans="1:4">
      <c r="A3" s="3">
        <v>64</v>
      </c>
      <c r="B3" s="4">
        <v>76.90000000000001</v>
      </c>
      <c r="C3" s="3">
        <v>44</v>
      </c>
      <c r="D3" s="4">
        <f>B3-'主结果'!D4</f>
        <v>1.6</v>
      </c>
    </row>
    <row r="4" spans="1:4">
      <c r="A4" s="3">
        <v>128</v>
      </c>
      <c r="B4" s="4">
        <v>76.5</v>
      </c>
      <c r="C4" s="3">
        <v>57</v>
      </c>
      <c r="D4" s="4">
        <f>B4-'主结果'!D4</f>
        <v>1.2</v>
      </c>
    </row>
    <row r="6" spans="1:4">
      <c r="A6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10.7109375" customWidth="1"/>
    <col min="2" max="2" width="18.7109375" customWidth="1"/>
    <col min="3" max="4" width="8.7109375" customWidth="1"/>
    <col min="5" max="5" width="10.7109375" customWidth="1"/>
  </cols>
  <sheetData>
    <row r="1" spans="1:5" ht="26" customHeight="1">
      <c r="A1" s="1" t="s">
        <v>15</v>
      </c>
      <c r="B1" s="1"/>
      <c r="C1" s="1"/>
      <c r="D1" s="1"/>
      <c r="E1" s="1"/>
    </row>
    <row r="2" spans="1: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</row>
    <row r="3" spans="1:5">
      <c r="A3" s="3" t="s">
        <v>21</v>
      </c>
      <c r="B3" s="3" t="s">
        <v>22</v>
      </c>
      <c r="C3" s="3">
        <v>8</v>
      </c>
      <c r="D3" s="3">
        <v>36</v>
      </c>
      <c r="E3" s="6">
        <f>C3*D3</f>
        <v>288</v>
      </c>
    </row>
    <row r="4" spans="1:5">
      <c r="A4" s="3"/>
      <c r="B4" s="3" t="s">
        <v>23</v>
      </c>
      <c r="C4" s="3">
        <v>8</v>
      </c>
      <c r="D4" s="3">
        <v>42</v>
      </c>
      <c r="E4" s="6">
        <f>C4*D4</f>
        <v>336</v>
      </c>
    </row>
    <row r="5" spans="1:5">
      <c r="A5" s="3" t="s">
        <v>24</v>
      </c>
      <c r="B5" s="3" t="s">
        <v>25</v>
      </c>
      <c r="C5" s="3">
        <v>16</v>
      </c>
      <c r="D5" s="3">
        <v>48</v>
      </c>
      <c r="E5" s="6">
        <f>C5*D5</f>
        <v>768</v>
      </c>
    </row>
    <row r="6" spans="1:5">
      <c r="A6" s="3"/>
      <c r="B6" s="3" t="s">
        <v>26</v>
      </c>
      <c r="C6" s="3">
        <v>8</v>
      </c>
      <c r="D6" s="3">
        <v>22</v>
      </c>
      <c r="E6" s="6">
        <f>C6*D6</f>
        <v>176</v>
      </c>
    </row>
    <row r="7" spans="1:5">
      <c r="A7" s="3" t="s">
        <v>27</v>
      </c>
      <c r="B7" s="3" t="s">
        <v>28</v>
      </c>
      <c r="C7" s="3"/>
      <c r="D7" s="3"/>
      <c r="E7" s="6">
        <f>SUM(E3:E6)</f>
        <v>1568</v>
      </c>
    </row>
    <row r="8" spans="1:5">
      <c r="A8" s="3" t="s">
        <v>29</v>
      </c>
      <c r="B8" s="3" t="s">
        <v>28</v>
      </c>
      <c r="C8" s="3"/>
      <c r="D8" s="3"/>
      <c r="E8" s="6">
        <f>2000-E7</f>
        <v>432</v>
      </c>
    </row>
    <row r="10" spans="1:5">
      <c r="A10" s="5" t="s">
        <v>10</v>
      </c>
    </row>
  </sheetData>
  <mergeCells count="3">
    <mergeCell ref="A1:E1"/>
    <mergeCell ref="A3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主结果</vt:lpstr>
      <vt:lpstr>消融</vt:lpstr>
      <vt:lpstr>算力统计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LoomNet 消融实验 v3</dc:title>
  <dc:creator>synthetic</dc:creator>
  <dc:description>合成数据</dc:description>
  <cp:lastModifiedBy>synthetic</cp:lastModifiedBy>
  <dcterms:created xsi:type="dcterms:W3CDTF">2026-10-01T09:00:00Z</dcterms:created>
  <dcterms:modified xsi:type="dcterms:W3CDTF">2026-10-01T09:00:00Z</dcterms:modified>
</cp:coreProperties>
</file>